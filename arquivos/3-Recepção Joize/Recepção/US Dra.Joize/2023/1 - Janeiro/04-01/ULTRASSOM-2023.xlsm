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W:\Recepção\US Dra.Joize\2023\1-Janeiro\28-12\"/>
    </mc:Choice>
  </mc:AlternateContent>
  <xr:revisionPtr revIDLastSave="0" documentId="13_ncr:1_{E6EC4749-71D5-4937-BE9C-4E68C7ADBE7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<sst xmlns="http://schemas.openxmlformats.org/spreadsheetml/2006/main" count="40" uniqueCount="31">
  <si>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</si>
  <si>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</si>
  <si>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</si>
  <si>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</si>
  <si>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</si>
  <si>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</si>
  <si>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</si>
  <si>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</si>
  <si>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</si>
  <si>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</si>
  <si>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</si>
  <si>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</si>
  <si>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</si>
  <si>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</si>
  <si>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</si>
  <si>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</si>
  <si>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</si>
  <si>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</si>
  <si>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</si>
  <si>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</si>
  <si>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</si>
  <si>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</si>
  <si>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</si>
  <si>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</si>
  <si>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</si>
  <si>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ANA CRISTINA</t>
  </si>
  <si>
    <t>UNIMED</t>
  </si>
  <si>
    <t>FUSEX</t>
  </si>
  <si>
    <t>FORMA DE PAGAMENTO</t>
  </si>
  <si>
    <t>TABELAS</t>
  </si>
  <si>
    <t>MARIA FERNANDA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</si>
</sst>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5" fillId="2" borderId="0" xfId="2" applyFont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7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IF(B6="","",IF(AND(D6=US,H6=PART),tabelas!$C$6,IF(AND(D6=US,H6=AMS),tabelas!$D$6,IF(AND(D6=PAAF,H6=PART),tabelas!$C$9,IF(AND(D6=PAAF,H6=SUS),tabelas!$G$9,IF(AND(D6=CORE,H6=PART,F6=CC),tabelas!$C$7,IF(AND(OR(F6=PIX,F6=DIN,F6=DB),D6=CORE,H6=PART),tabelas!$C$8,0)))))))</calculatedColumnFormula>
    </tableColumn>
    <tableColumn id="4" xr3:uid="{00000000-0010-0000-0000-000004000000}" name="FORMA DE PAG." dataDxfId="10" totalsRowDxfId="2"/>
    <tableColumn id="6" xr3:uid="{00000000-0010-0000-0000-000006000000}" name="PARCELAS" dataDxfId="9" totalsRowDxfId="1"/>
    <tableColumn id="5" xr3:uid="{00000000-0010-0000-0000-000005000000}" name="CONVÊNIO" dataDxfId="8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B8" sqref="B8"/>
    </sheetView>
  </sheetViews>
  <sheetFormatPr defaultRowHeight="15" x14ac:dyDescent="0.25"/>
  <cols>
    <col min="1" max="1" width="1.7109375" customWidth="1"/>
    <col min="2" max="2" width="45.85546875" customWidth="1"/>
    <col min="3" max="3" width="11.5703125" bestFit="1" customWidth="1"/>
    <col min="4" max="4" width="30.5703125" bestFit="1" customWidth="1"/>
    <col min="5" max="5" width="18" style="9" customWidth="1"/>
    <col min="6" max="7" width="22" customWidth="1"/>
    <col min="8" max="8" width="16" bestFit="1" customWidth="1"/>
    <col min="9" max="9" width="5.7109375" customWidth="1"/>
    <col min="10" max="10" width="23.140625" bestFit="1" customWidth="1"/>
    <col min="11" max="11" width="11.85546875" bestFit="1" customWidth="1"/>
    <col min="12" max="12" width="12.85546875" customWidth="1"/>
    <col min="13" max="13" width="8.28515625" customWidth="1"/>
    <col min="14" max="14" width="6.5703125" customWidth="1"/>
    <col min="15" max="15" width="10.1406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14" t="s">
        <v>11</v>
      </c>
      <c r="C2" s="14"/>
      <c r="D2" s="14"/>
      <c r="E2" s="35" t="s">
        <v>13</v>
      </c>
      <c r="F2" s="36">
        <v>44931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 t="s">
        <v>25</v>
      </c>
      <c r="C6" s="7">
        <v>20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IF(B6="","",IF(AND(D6=US,H6=PART),tabelas!$C$6,IF(AND(D6=US,H6=AMS),tabelas!$D$6,IF(AND(D6=PAAF,H6=PART),tabelas!$C$9,IF(AND(D6=PAAF,H6=SUS),tabelas!$G$9,IF(AND(D6=CORE,H6=PART,F6=CC),tabelas!$C$7,IF(AND(OR(F6=PIX,F6=DIN,F6=DB),D6=CORE,H6=PART),tabelas!$C$8,0)))))))</f>
        <v>300</v>
      </c>
      <c r="F6" s="7" t="s">
        <v>16</v>
      </c>
      <c r="G6" s="7" t="s">
        <v>19</v>
      </c>
      <c r="H6" s="7" t="s">
        <v>10</v>
      </c>
    </row>
    <row r="7" spans="1:16" x14ac:dyDescent="0.25">
      <c r="B7" s="7" t="s">
        <v>30</v>
      </c>
      <c r="C7" s="7">
        <v>18</v>
      </c>
      <c r="D7" s="7" t="s">
        <v>15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IF(B7="","",IF(AND(D7=US,H7=PART),tabelas!$C$6,IF(AND(D7=US,H7=AMS),tabelas!$D$6,IF(AND(D7=PAAF,H7=PART),tabelas!$C$9,IF(AND(D7=PAAF,H7=SUS),tabelas!$G$9,IF(AND(D7=CORE,H7=PART,F7=CC),tabelas!$C$7,IF(AND(OR(F7=PIX,F7=DIN,F7=DB),D7=CORE,H7=PART),tabelas!$C$8,0)))))))</f>
        <v>600</v>
      </c>
      <c r="F7" s="7" t="s">
        <v>7</v>
      </c>
      <c r="G7" s="7"/>
      <c r="H7" s="7" t="s">
        <v>6</v>
      </c>
    </row>
    <row r="8" spans="1:16" x14ac:dyDescent="0.25">
      <c r="B8" s="7"/>
      <c r="C8" s="7"/>
      <c r="D8" s="7"/>
      <c r="E8" s="9" t="str">
        <f>IF(B8="","",IF(AND(D8=US,H8=PART),tabelas!$C$6,IF(AND(D8=US,H8=AMS),tabelas!$D$6,IF(AND(D8=PAAF,H8=PART),tabelas!$C$9,IF(AND(D8=PAAF,H8=SUS),tabelas!$G$9,IF(AND(D8=CORE,H8=PART,F8=CC),tabelas!$C$7,IF(AND(OR(F8=PIX,F8=DIN,F8=DB),D8=CORE,H8=PART),tabelas!$C$8,0)))))))</f>
        <v/>
      </c>
      <c r="F8" s="7"/>
      <c r="G8" s="7"/>
      <c r="H8" s="7"/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IF(B9="","",IF(AND(D9=US,H9=PART),tabelas!$C$6,IF(AND(D9=US,H9=AMS),tabelas!$D$6,IF(AND(D9=PAAF,H9=PART),tabelas!$C$9,IF(AND(D9=PAAF,H9=SUS),tabelas!$G$9,IF(AND(D9=CORE,H9=PART,F9=CC),tabelas!$C$7,IF(AND(OR(F9=PIX,F9=DIN,F9=DB),D9=CORE,H9=PART),tabelas!$C$8,0)))))))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$8,0)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$8,0)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$8,0)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$8,0)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$8,0)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$8,0)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$8,0)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$8,0)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$8,0)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$8,0)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$8,0)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$8,0)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$8,0)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$8,0)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$8,0)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$8,0)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$8,0)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$8,0)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$8,0)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$8,0)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900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B8" sqref="B8"/>
    </sheetView>
  </sheetViews>
  <sheetFormatPr defaultRowHeight="15" x14ac:dyDescent="0.25"/>
  <cols>
    <col min="1" max="1" width="1.7109375" customWidth="1"/>
    <col min="2" max="2" width="23.140625" bestFit="1" customWidth="1"/>
    <col min="3" max="3" width="12" bestFit="1" customWidth="1"/>
    <col min="4" max="4" width="13.28515625" bestFit="1" customWidth="1"/>
    <col min="5" max="5" width="8.5703125" bestFit="1" customWidth="1"/>
    <col min="6" max="6" width="6.5703125" bestFit="1" customWidth="1"/>
    <col min="7" max="7" width="10.140625" bestFit="1" customWidth="1"/>
  </cols>
  <sheetData>
    <row r="2" spans="2:7" ht="15.75" thickBot="1" x14ac:dyDescent="0.3"/>
    <row r="3" spans="2:7" ht="21.75" thickBot="1" x14ac:dyDescent="0.4">
      <c r="B3" s="32" t="s">
        <v>29</v>
      </c>
      <c r="C3" s="33"/>
      <c r="D3" s="33"/>
      <c r="E3" s="33"/>
      <c r="F3" s="33"/>
      <c r="G3" s="34"/>
    </row>
    <row r="4" spans="2:7" ht="15.75" thickBot="1" x14ac:dyDescent="0.3"/>
    <row r="5" spans="2:7" ht="15.75" thickBot="1" x14ac:dyDescent="0.3">
      <c r="B5" s="23" t="s">
        <v>0</v>
      </c>
      <c r="C5" s="24" t="s">
        <v>10</v>
      </c>
      <c r="D5" s="24" t="s">
        <v>5</v>
      </c>
      <c r="E5" s="24" t="s">
        <v>26</v>
      </c>
      <c r="F5" s="24" t="s">
        <v>27</v>
      </c>
      <c r="G5" s="25" t="s">
        <v>6</v>
      </c>
    </row>
    <row r="6" spans="2:7" x14ac:dyDescent="0.25">
      <c r="B6" s="19" t="s">
        <v>14</v>
      </c>
      <c r="C6" s="26">
        <v>300</v>
      </c>
      <c r="D6" s="26">
        <v>250</v>
      </c>
      <c r="E6" s="26"/>
      <c r="F6" s="26"/>
      <c r="G6" s="27"/>
    </row>
    <row r="7" spans="2:7" x14ac:dyDescent="0.25">
      <c r="B7" s="15" t="s">
        <v>4</v>
      </c>
      <c r="C7" s="28">
        <v>1500</v>
      </c>
      <c r="D7" s="28"/>
      <c r="E7" s="28"/>
      <c r="F7" s="28"/>
      <c r="G7" s="29"/>
    </row>
    <row r="8" spans="2:7" x14ac:dyDescent="0.25">
      <c r="B8" s="15"/>
      <c r="C8" s="28">
        <v>1200</v>
      </c>
      <c r="D8" s="28"/>
      <c r="E8" s="28"/>
      <c r="F8" s="28"/>
      <c r="G8" s="29"/>
    </row>
    <row r="9" spans="2:7" ht="15.75" thickBot="1" x14ac:dyDescent="0.3">
      <c r="B9" s="17" t="s">
        <v>15</v>
      </c>
      <c r="C9" s="30">
        <v>800</v>
      </c>
      <c r="D9" s="30"/>
      <c r="E9" s="30"/>
      <c r="F9" s="30"/>
      <c r="G9" s="31">
        <v>600</v>
      </c>
    </row>
    <row r="10" spans="2:7" ht="15.75" thickBot="1" x14ac:dyDescent="0.3"/>
    <row r="11" spans="2:7" ht="15.75" thickBot="1" x14ac:dyDescent="0.3">
      <c r="B11" s="21" t="s">
        <v>28</v>
      </c>
      <c r="C11" s="22" t="s">
        <v>17</v>
      </c>
    </row>
    <row r="12" spans="2:7" x14ac:dyDescent="0.25">
      <c r="B12" s="19" t="s">
        <v>16</v>
      </c>
      <c r="C12" s="20" t="s">
        <v>18</v>
      </c>
    </row>
    <row r="13" spans="2:7" x14ac:dyDescent="0.25">
      <c r="B13" s="15" t="s">
        <v>7</v>
      </c>
      <c r="C13" s="16" t="s">
        <v>19</v>
      </c>
    </row>
    <row r="14" spans="2:7" x14ac:dyDescent="0.25">
      <c r="B14" s="15" t="s">
        <v>8</v>
      </c>
      <c r="C14" s="16" t="s">
        <v>20</v>
      </c>
    </row>
    <row r="15" spans="2:7" x14ac:dyDescent="0.25">
      <c r="B15" s="15" t="s">
        <v>9</v>
      </c>
      <c r="C15" s="16" t="s">
        <v>21</v>
      </c>
    </row>
    <row r="16" spans="2:7" x14ac:dyDescent="0.25">
      <c r="B16" s="15"/>
      <c r="C16" s="16" t="s">
        <v>22</v>
      </c>
    </row>
    <row r="17" spans="2:3" ht="15.75" thickBot="1" x14ac:dyDescent="0.3">
      <c r="B17" s="17"/>
      <c r="C17" s="18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Patologia</cp:lastModifiedBy>
  <dcterms:created xsi:type="dcterms:W3CDTF">2015-06-05T18:17:20Z</dcterms:created>
  <dcterms:modified xsi:type="dcterms:W3CDTF">2023-01-05T15:53:20Z</dcterms:modified>
</cp:coreProperties>
</file>