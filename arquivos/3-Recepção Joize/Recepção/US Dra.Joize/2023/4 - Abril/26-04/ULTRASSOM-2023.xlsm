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327" codeName="{37A63EE7-654F-3FA9-A528-636911D70600}"/>
  <workbookPr codeName="EstaPastaDeTrabalho"/>
  <mc:AlternateContent xmlns:mc="http://schemas.openxmlformats.org/markup-compatibility/2006">
    <mc:Choice Requires="x15">
      <x15ac:absPath xmlns:x15ac="http://schemas.microsoft.com/office/spreadsheetml/2010/11/ac" url="W:\Recepção\US Dra.Joize\2023\4 - Abril\26-04\"/>
    </mc:Choice>
  </mc:AlternateContent>
  <xr:revisionPtr revIDLastSave="0" documentId="13_ncr:1_{80D9244B-B3B1-44F7-ABD8-9DA43393F201}" xr6:coauthVersionLast="47" xr6:coauthVersionMax="47" xr10:uidLastSave="{00000000-0000-0000-0000-000000000000}"/>
  <bookViews>
    <workbookView xWindow="-120" yWindow="-120" windowWidth="24240" windowHeight="13140" xr2:uid="{00000000-000D-0000-FFFF-FFFF00000000}"/>
  </bookViews>
  <sheets>
    <sheet name="ULTRASSOM" sheetId="1" r:id="rId1"/>
    <sheet name="tabelas" sheetId="2" state="hidden" r:id="rId2"/>
  </sheets>
  <definedNames>
    <definedName name="AMS">tabelas!$D$5</definedName>
    <definedName name="CC">tabelas!$B$12</definedName>
    <definedName name="CNV">Tabela1[[#All],[CONVÊNIO]]</definedName>
    <definedName name="CORE">tabelas!$B$7</definedName>
    <definedName name="COREA">tabelas!$B$8</definedName>
    <definedName name="DB">tabelas!$B$13</definedName>
    <definedName name="DIN">tabelas!$B$14</definedName>
    <definedName name="EXAME">Tabela1[[#All],[EXAME]]</definedName>
    <definedName name="FMP">Tabela1[[#All],[FORMA DE PAG.]]</definedName>
    <definedName name="FUS">tabelas!$F$5</definedName>
    <definedName name="PAAF">tabelas!$B$9</definedName>
    <definedName name="PART">tabelas!$C$5</definedName>
    <definedName name="PIX">tabelas!$B$15</definedName>
    <definedName name="SUS">tabelas!$G$5</definedName>
    <definedName name="UNM">tabelas!$E$5</definedName>
    <definedName name="US">tabelas!$B$6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6" i="1" l="1"/>
  <c r="E7" i="1"/>
  <c r="E8" i="1"/>
  <c r="E9" i="1"/>
  <c r="E10" i="1"/>
  <c r="E11" i="1"/>
  <c r="E12" i="1"/>
  <c r="E13" i="1"/>
  <c r="E14" i="1"/>
  <c r="E15" i="1"/>
  <c r="E16" i="1"/>
  <c r="E17" i="1"/>
  <c r="E18" i="1"/>
  <c r="E19" i="1"/>
  <c r="E20" i="1"/>
  <c r="E21" i="1"/>
  <c r="E22" i="1"/>
  <c r="E23" i="1"/>
  <c r="E24" i="1"/>
  <c r="E25" i="1"/>
  <c r="E26" i="1"/>
  <c r="E27" i="1"/>
  <c r="E28" i="1"/>
  <c r="E29" i="1"/>
  <c r="E30" i="1" l="1"/>
</calcChain>
</file>

<file path=xl/sharedStrings.xml><?xml version="1.0" encoding="utf-8"?>
<sst xmlns="http://schemas.openxmlformats.org/spreadsheetml/2006/main" count="51" uniqueCount="34">
  <si>
    <t>EXAME</t>
  </si>
  <si>
    <t>VALOR</t>
  </si>
  <si>
    <t>FORMA DE PAG.</t>
  </si>
  <si>
    <t>CONVÊNIO</t>
  </si>
  <si>
    <t>CORE BIOPSY</t>
  </si>
  <si>
    <t>AMOR SAÚDE</t>
  </si>
  <si>
    <t>SUS</t>
  </si>
  <si>
    <t>DÉBITO</t>
  </si>
  <si>
    <t>DINHEIRO</t>
  </si>
  <si>
    <t>PIX/TRANSFERÊNCIA</t>
  </si>
  <si>
    <t>PARTICULAR</t>
  </si>
  <si>
    <t>Controle de Ultrassom e procedimentos Doutora Joizeanne</t>
  </si>
  <si>
    <t>NOME PACIENTE</t>
  </si>
  <si>
    <t>Data</t>
  </si>
  <si>
    <t>US DE MAMAS E AXILAS</t>
  </si>
  <si>
    <t>PAAF DE MAMAS</t>
  </si>
  <si>
    <t>CRÉDITO</t>
  </si>
  <si>
    <t>PARCELAS</t>
  </si>
  <si>
    <t>1x</t>
  </si>
  <si>
    <t>2x</t>
  </si>
  <si>
    <t>3x</t>
  </si>
  <si>
    <t>4x</t>
  </si>
  <si>
    <t>5x</t>
  </si>
  <si>
    <t>6x</t>
  </si>
  <si>
    <t>IDADE</t>
  </si>
  <si>
    <t>UNIMED</t>
  </si>
  <si>
    <t>FUSEX</t>
  </si>
  <si>
    <t>FORMA DE PAGAMENTO</t>
  </si>
  <si>
    <t>TABELAS</t>
  </si>
  <si>
    <t>DEBORAH KEREN DOS SANTOS COUTO</t>
  </si>
  <si>
    <t>JUCELIA NOBREGA DE CARVALHO</t>
  </si>
  <si>
    <t>MAYARA FERNANDES GARCIA</t>
  </si>
  <si>
    <t>STEFANY VITORIA MIATELLO LEITE</t>
  </si>
  <si>
    <t>IRACI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</si>
</sst>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4" formatCode="_-&quot;R$&quot;* #,##0.00_-;\-&quot;R$&quot;* #,##0.00_-;_-&quot;R$&quot;* &quot;-&quot;??_-;_-@_-"/>
  </numFmts>
  <fonts count="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6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1"/>
      <color rgb="FF00000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3">
    <xf numFmtId="0" fontId="0" fillId="0" borderId="0"/>
    <xf numFmtId="44" fontId="1" fillId="0" borderId="0" applyFont="0" applyFill="0" applyBorder="0" applyAlignment="0" applyProtection="0"/>
    <xf numFmtId="0" fontId="4" fillId="2" borderId="0" applyNumberFormat="0" applyBorder="0" applyAlignment="0" applyProtection="0"/>
  </cellStyleXfs>
  <cellXfs count="38">
    <xf numFmtId="0" fontId="0" fillId="0" borderId="0" xfId="0"/>
    <xf numFmtId="0" fontId="2" fillId="0" borderId="0" xfId="0" applyFont="1"/>
    <xf numFmtId="0" fontId="2" fillId="0" borderId="0" xfId="0" applyFont="1" applyAlignment="1">
      <alignment horizontal="center"/>
    </xf>
    <xf numFmtId="0" fontId="5" fillId="2" borderId="0" xfId="2" applyFont="1"/>
    <xf numFmtId="0" fontId="5" fillId="2" borderId="0" xfId="2" applyFont="1" applyBorder="1"/>
    <xf numFmtId="0" fontId="5" fillId="2" borderId="0" xfId="2" applyFont="1" applyAlignment="1">
      <alignment horizontal="center"/>
    </xf>
    <xf numFmtId="14" fontId="5" fillId="2" borderId="0" xfId="2" applyNumberFormat="1" applyFont="1" applyBorder="1"/>
    <xf numFmtId="0" fontId="0" fillId="0" borderId="0" xfId="0" applyProtection="1">
      <protection locked="0"/>
    </xf>
    <xf numFmtId="44" fontId="5" fillId="2" borderId="0" xfId="2" applyNumberFormat="1" applyFont="1" applyProtection="1"/>
    <xf numFmtId="44" fontId="0" fillId="0" borderId="0" xfId="1" applyFont="1" applyProtection="1"/>
    <xf numFmtId="44" fontId="2" fillId="0" borderId="0" xfId="1" applyFont="1" applyAlignment="1" applyProtection="1">
      <alignment horizontal="center"/>
    </xf>
    <xf numFmtId="0" fontId="2" fillId="0" borderId="0" xfId="0" applyFont="1" applyAlignment="1" applyProtection="1">
      <alignment horizontal="center"/>
      <protection locked="0"/>
    </xf>
    <xf numFmtId="0" fontId="5" fillId="0" borderId="0" xfId="2" applyFont="1" applyFill="1"/>
    <xf numFmtId="44" fontId="0" fillId="0" borderId="0" xfId="0" applyNumberFormat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6" xfId="0" applyBorder="1"/>
    <xf numFmtId="0" fontId="0" fillId="0" borderId="7" xfId="0" applyBorder="1"/>
    <xf numFmtId="0" fontId="0" fillId="0" borderId="9" xfId="0" applyBorder="1"/>
    <xf numFmtId="0" fontId="6" fillId="0" borderId="10" xfId="0" applyFont="1" applyBorder="1"/>
    <xf numFmtId="0" fontId="6" fillId="0" borderId="12" xfId="0" applyFont="1" applyBorder="1"/>
    <xf numFmtId="0" fontId="6" fillId="0" borderId="10" xfId="0" applyFont="1" applyBorder="1" applyAlignment="1">
      <alignment horizontal="center"/>
    </xf>
    <xf numFmtId="0" fontId="6" fillId="0" borderId="11" xfId="0" applyFont="1" applyBorder="1" applyAlignment="1">
      <alignment horizontal="center"/>
    </xf>
    <xf numFmtId="0" fontId="6" fillId="0" borderId="12" xfId="0" applyFont="1" applyBorder="1" applyAlignment="1">
      <alignment horizontal="center"/>
    </xf>
    <xf numFmtId="44" fontId="0" fillId="0" borderId="8" xfId="1" applyFont="1" applyBorder="1"/>
    <xf numFmtId="44" fontId="0" fillId="0" borderId="9" xfId="1" applyFont="1" applyBorder="1"/>
    <xf numFmtId="44" fontId="0" fillId="0" borderId="1" xfId="1" applyFont="1" applyBorder="1"/>
    <xf numFmtId="44" fontId="0" fillId="0" borderId="3" xfId="1" applyFont="1" applyBorder="1"/>
    <xf numFmtId="44" fontId="0" fillId="0" borderId="5" xfId="1" applyFont="1" applyBorder="1"/>
    <xf numFmtId="44" fontId="0" fillId="0" borderId="6" xfId="1" applyFont="1" applyBorder="1"/>
    <xf numFmtId="0" fontId="5" fillId="2" borderId="0" xfId="2" applyFont="1" applyBorder="1" applyAlignment="1">
      <alignment horizontal="right" vertical="center"/>
    </xf>
    <xf numFmtId="14" fontId="5" fillId="2" borderId="0" xfId="2" applyNumberFormat="1" applyFont="1" applyBorder="1" applyAlignment="1" applyProtection="1">
      <alignment horizontal="left" vertical="center"/>
      <protection locked="0"/>
    </xf>
    <xf numFmtId="0" fontId="8" fillId="0" borderId="0" xfId="0" applyFont="1" applyProtection="1">
      <protection locked="0"/>
    </xf>
    <xf numFmtId="0" fontId="5" fillId="2" borderId="0" xfId="2" applyFont="1" applyAlignment="1">
      <alignment horizontal="center"/>
    </xf>
    <xf numFmtId="0" fontId="7" fillId="0" borderId="10" xfId="0" applyFont="1" applyBorder="1" applyAlignment="1">
      <alignment horizontal="center"/>
    </xf>
    <xf numFmtId="0" fontId="7" fillId="0" borderId="11" xfId="0" applyFont="1" applyBorder="1" applyAlignment="1">
      <alignment horizontal="center"/>
    </xf>
    <xf numFmtId="0" fontId="7" fillId="0" borderId="12" xfId="0" applyFont="1" applyBorder="1" applyAlignment="1">
      <alignment horizontal="center"/>
    </xf>
  </cellXfs>
  <cellStyles count="3">
    <cellStyle name="Ênfase1" xfId="2" builtinId="29"/>
    <cellStyle name="Moeda" xfId="1" builtinId="4"/>
    <cellStyle name="Normal" xfId="0" builtinId="0"/>
  </cellStyles>
  <dxfs count="15"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numFmt numFmtId="34" formatCode="_-&quot;R$&quot;* #,##0.00_-;\-&quot;R$&quot;* #,##0.00_-;_-&quot;R$&quot;* &quot;-&quot;??_-;_-@_-"/>
    </dxf>
    <dxf>
      <numFmt numFmtId="34" formatCode="_-&quot;R$&quot;* #,##0.00_-;\-&quot;R$&quot;* #,##0.00_-;_-&quot;R$&quot;* &quot;-&quot;??_-;_-@_-"/>
      <protection locked="1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alignment horizontal="center" vertical="bottom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6</xdr:col>
      <xdr:colOff>114300</xdr:colOff>
      <xdr:row>1</xdr:row>
      <xdr:rowOff>19050</xdr:rowOff>
    </xdr:from>
    <xdr:to>
      <xdr:col>7</xdr:col>
      <xdr:colOff>800100</xdr:colOff>
      <xdr:row>1</xdr:row>
      <xdr:rowOff>276225</xdr:rowOff>
    </xdr:to>
    <xdr:sp macro="[0]!data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A7D92EE4-BF1C-8C87-B38D-D52F15F6EB58}"/>
            </a:ext>
          </a:extLst>
        </xdr:cNvPr>
        <xdr:cNvSpPr/>
      </xdr:nvSpPr>
      <xdr:spPr>
        <a:xfrm>
          <a:off x="8763000" y="76200"/>
          <a:ext cx="2152650" cy="257175"/>
        </a:xfrm>
        <a:prstGeom prst="roundRect">
          <a:avLst/>
        </a:prstGeom>
        <a:solidFill>
          <a:schemeClr val="bg1">
            <a:lumMod val="85000"/>
          </a:schemeClr>
        </a:solidFill>
        <a:ln>
          <a:solidFill>
            <a:sysClr val="windowText" lastClr="000000"/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>
              <a:solidFill>
                <a:sysClr val="windowText" lastClr="000000"/>
              </a:solidFill>
            </a:rPr>
            <a:t>GERAR</a:t>
          </a:r>
          <a:r>
            <a:rPr lang="pt-BR" sz="1200" b="1" baseline="0">
              <a:solidFill>
                <a:sysClr val="windowText" lastClr="000000"/>
              </a:solidFill>
            </a:rPr>
            <a:t> DATA AUTOMÁTICA</a:t>
          </a:r>
          <a:endParaRPr lang="pt-BR" sz="1200" b="1">
            <a:solidFill>
              <a:sysClr val="windowText" lastClr="000000"/>
            </a:solidFill>
          </a:endParaRPr>
        </a:p>
      </xdr:txBody>
    </xdr:sp>
    <xdr:clientData fPrintsWithSheet="0"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ela1" displayName="Tabela1" ref="B5:H30" totalsRowCount="1" headerRowDxfId="14">
  <autoFilter ref="B5:H29" xr:uid="{00000000-0009-0000-0100-000001000000}"/>
  <tableColumns count="7">
    <tableColumn id="1" xr3:uid="{00000000-0010-0000-0000-000001000000}" name="NOME PACIENTE" dataDxfId="13" totalsRowDxfId="12"/>
    <tableColumn id="7" xr3:uid="{00000000-0010-0000-0000-000007000000}" name="IDADE" dataDxfId="11" totalsRowDxfId="10"/>
    <tableColumn id="2" xr3:uid="{00000000-0010-0000-0000-000002000000}" name="EXAME" dataDxfId="9" totalsRowDxfId="8"/>
    <tableColumn id="3" xr3:uid="{00000000-0010-0000-0000-000003000000}" name="VALOR" totalsRowFunction="sum" dataDxfId="7" totalsRowDxfId="6" dataCellStyle="Moeda">
      <calculatedColumnFormula>IF(B6="","",IF(AND(D6=US,H6=PART),tabelas!$C$6,IF(AND(D6=US,H6=AMS),tabelas!$D$6,IF(AND(D6=PAAF,H6=PART),tabelas!$C$9,IF(AND(D6=PAAF,H6=SUS),tabelas!$G$9,IF(AND(D6=CORE,H6=PART,F6=CC),tabelas!$C$7,IF(AND(OR(F6=PIX,F6=DIN,F6=DB),D6=CORE,H6=PART),tabelas!$C$8,IF(AND(D6=CORE,H6=SUS),tabelas!$G$7,0))))))))</calculatedColumnFormula>
    </tableColumn>
    <tableColumn id="4" xr3:uid="{00000000-0010-0000-0000-000004000000}" name="FORMA DE PAG." dataDxfId="5" totalsRowDxfId="4"/>
    <tableColumn id="6" xr3:uid="{00000000-0010-0000-0000-000006000000}" name="PARCELAS" dataDxfId="3" totalsRowDxfId="2"/>
    <tableColumn id="5" xr3:uid="{00000000-0010-0000-0000-000005000000}" name="CONVÊNIO" dataDxfId="1" totalsRow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P30"/>
  <sheetViews>
    <sheetView showGridLines="0" tabSelected="1" zoomScaleNormal="100" workbookViewId="0">
      <selection activeCell="F15" sqref="F15"/>
    </sheetView>
  </sheetViews>
  <sheetFormatPr defaultRowHeight="15" x14ac:dyDescent="0.25"/>
  <cols>
    <col min="1" max="1" width="1.75" customWidth="1"/>
    <col min="2" max="2" width="45.875" customWidth="1"/>
    <col min="3" max="3" width="11.625" bestFit="1" customWidth="1"/>
    <col min="4" max="4" width="30.625" bestFit="1" customWidth="1"/>
    <col min="5" max="5" width="18" style="9" customWidth="1"/>
    <col min="6" max="7" width="22" customWidth="1"/>
    <col min="8" max="8" width="16" bestFit="1" customWidth="1"/>
    <col min="9" max="9" width="5.75" customWidth="1"/>
    <col min="10" max="10" width="23.125" bestFit="1" customWidth="1"/>
    <col min="11" max="11" width="11.875" bestFit="1" customWidth="1"/>
    <col min="12" max="12" width="12.875" customWidth="1"/>
    <col min="13" max="13" width="8.25" customWidth="1"/>
    <col min="14" max="14" width="6.625" customWidth="1"/>
    <col min="15" max="15" width="10.125" bestFit="1" customWidth="1"/>
  </cols>
  <sheetData>
    <row r="1" spans="1:16" ht="5.0999999999999996" customHeight="1" x14ac:dyDescent="0.35">
      <c r="A1" s="3"/>
      <c r="B1" s="3"/>
      <c r="C1" s="3"/>
      <c r="D1" s="3"/>
      <c r="E1" s="8"/>
      <c r="F1" s="4"/>
      <c r="G1" s="4"/>
      <c r="H1" s="3"/>
      <c r="I1" s="12"/>
      <c r="J1" s="12"/>
      <c r="K1" s="12"/>
      <c r="L1" s="12"/>
      <c r="M1" s="12"/>
      <c r="N1" s="12"/>
    </row>
    <row r="2" spans="1:16" ht="24.95" customHeight="1" x14ac:dyDescent="0.35">
      <c r="A2" s="3"/>
      <c r="B2" s="34" t="s">
        <v>11</v>
      </c>
      <c r="C2" s="34"/>
      <c r="D2" s="34"/>
      <c r="E2" s="31" t="s">
        <v>13</v>
      </c>
      <c r="F2" s="32">
        <v>45042</v>
      </c>
      <c r="G2" s="6"/>
      <c r="H2" s="4"/>
      <c r="I2" s="12"/>
      <c r="J2" s="12"/>
      <c r="K2" s="12"/>
      <c r="L2" s="12"/>
      <c r="M2" s="12"/>
      <c r="N2" s="12"/>
    </row>
    <row r="3" spans="1:16" ht="5.0999999999999996" customHeight="1" x14ac:dyDescent="0.35">
      <c r="A3" s="3"/>
      <c r="B3" s="5"/>
      <c r="C3" s="5"/>
      <c r="D3" s="5"/>
      <c r="E3" s="8"/>
      <c r="F3" s="6"/>
      <c r="G3" s="6"/>
      <c r="H3" s="4"/>
      <c r="I3" s="12"/>
      <c r="J3" s="12"/>
      <c r="K3" s="12"/>
      <c r="L3" s="12"/>
      <c r="M3" s="12"/>
      <c r="N3" s="12"/>
    </row>
    <row r="5" spans="1:16" s="1" customFormat="1" ht="15.75" x14ac:dyDescent="0.25">
      <c r="B5" s="2" t="s">
        <v>12</v>
      </c>
      <c r="C5" s="2" t="s">
        <v>24</v>
      </c>
      <c r="D5" s="2" t="s">
        <v>0</v>
      </c>
      <c r="E5" s="10" t="s">
        <v>1</v>
      </c>
      <c r="F5" s="11" t="s">
        <v>2</v>
      </c>
      <c r="G5" s="11" t="s">
        <v>17</v>
      </c>
      <c r="H5" s="11" t="s">
        <v>3</v>
      </c>
      <c r="J5"/>
      <c r="K5"/>
      <c r="L5"/>
      <c r="M5"/>
      <c r="N5"/>
      <c r="O5"/>
      <c r="P5"/>
    </row>
    <row r="6" spans="1:16" x14ac:dyDescent="0.25">
      <c r="B6" s="33" t="s">
        <v>29</v>
      </c>
      <c r="C6" s="7">
        <v>19</v>
      </c>
      <c r="D6" s="7" t="s">
        <v>14</v>
      </c>
      <c r="E6" s="9">
        <f>IF(B6="","",IF(AND(D6=US,H6=PART),tabelas!$C$6,IF(AND(D6=US,H6=AMS),tabelas!$D$6,IF(AND(D6=PAAF,H6=PART),tabelas!$C$9,IF(AND(D6=PAAF,H6=SUS),tabelas!$G$9,IF(AND(D6=CORE,H6=PART,F6=CC),tabelas!$C$7,IF(AND(OR(F6=PIX,F6=DIN,F6=DB),D6=CORE,H6=PART),tabelas!$C$8,IF(AND(D6=CORE,H6=SUS),tabelas!$G$7,0))))))))</f>
        <v>300</v>
      </c>
      <c r="F6" s="7" t="s">
        <v>16</v>
      </c>
      <c r="G6" s="7"/>
      <c r="H6" s="7" t="s">
        <v>10</v>
      </c>
    </row>
    <row r="7" spans="1:16" x14ac:dyDescent="0.25">
      <c r="B7" s="33" t="s">
        <v>30</v>
      </c>
      <c r="C7" s="7">
        <v>49</v>
      </c>
      <c r="D7" s="7" t="s">
        <v>14</v>
      </c>
      <c r="E7" s="9">
        <f>IF(B7="","",IF(AND(D7=US,H7=PART),tabelas!$C$6,IF(AND(D7=US,H7=AMS),tabelas!$D$6,IF(AND(D7=PAAF,H7=PART),tabelas!$C$9,IF(AND(D7=PAAF,H7=SUS),tabelas!$G$9,IF(AND(D7=CORE,H7=PART,F7=CC),tabelas!$C$7,IF(AND(OR(F7=PIX,F7=DIN,F7=DB),D7=CORE,H7=PART),tabelas!$C$8,IF(AND(D7=CORE,H7=SUS),tabelas!$G$7,0))))))))</f>
        <v>300</v>
      </c>
      <c r="F7" s="7" t="s">
        <v>16</v>
      </c>
      <c r="G7" s="7"/>
      <c r="H7" s="7" t="s">
        <v>10</v>
      </c>
    </row>
    <row r="8" spans="1:16" x14ac:dyDescent="0.25">
      <c r="B8" s="33" t="s">
        <v>31</v>
      </c>
      <c r="C8" s="7">
        <v>36</v>
      </c>
      <c r="D8" s="7" t="s">
        <v>14</v>
      </c>
      <c r="E8" s="9">
        <f>IF(B8="","",IF(AND(D8=US,H8=PART),tabelas!$C$6,IF(AND(D8=US,H8=AMS),tabelas!$D$6,IF(AND(D8=PAAF,H8=PART),tabelas!$C$9,IF(AND(D8=PAAF,H8=SUS),tabelas!$G$9,IF(AND(D8=CORE,H8=PART,F8=CC),tabelas!$C$7,IF(AND(OR(F8=PIX,F8=DIN,F8=DB),D8=CORE,H8=PART),tabelas!$C$8,IF(AND(D8=CORE,H8=SUS),tabelas!$G$7,0))))))))</f>
        <v>300</v>
      </c>
      <c r="F8" s="7" t="s">
        <v>16</v>
      </c>
      <c r="G8" s="7"/>
      <c r="H8" s="7" t="s">
        <v>10</v>
      </c>
    </row>
    <row r="9" spans="1:16" x14ac:dyDescent="0.25">
      <c r="B9" s="33" t="s">
        <v>32</v>
      </c>
      <c r="C9" s="7">
        <v>19</v>
      </c>
      <c r="D9" s="7" t="s">
        <v>14</v>
      </c>
      <c r="E9" s="9">
        <f>IF(B9="","",IF(AND(D9=US,H9=PART),tabelas!$C$6,IF(AND(D9=US,H9=AMS),tabelas!$D$6,IF(AND(D9=PAAF,H9=PART),tabelas!$C$9,IF(AND(D9=PAAF,H9=SUS),tabelas!$G$9,IF(AND(D9=CORE,H9=PART,F9=CC),tabelas!$C$7,IF(AND(OR(F9=PIX,F9=DIN,F9=DB),D9=CORE,H9=PART),tabelas!$C$8,IF(AND(D9=CORE,H9=SUS),tabelas!$G$7,0))))))))</f>
        <v>300</v>
      </c>
      <c r="F9" s="7" t="s">
        <v>8</v>
      </c>
      <c r="G9" s="7"/>
      <c r="H9" s="7" t="s">
        <v>10</v>
      </c>
    </row>
    <row r="10" spans="1:16" x14ac:dyDescent="0.25">
      <c r="B10" s="7" t="s">
        <v>33</v>
      </c>
      <c r="C10" s="7">
        <v>49</v>
      </c>
      <c r="D10" s="7" t="s">
        <v>4</v>
      </c>
      <c r="E10" s="9">
        <f>IF(B10="","",IF(AND(D10=US,H10=PART),tabelas!$C$6,IF(AND(D10=US,H10=AMS),tabelas!$D$6,IF(AND(D10=PAAF,H10=PART),tabelas!$C$9,IF(AND(D10=PAAF,H10=SUS),tabelas!$G$9,IF(AND(D10=CORE,H10=PART,F10=CC),tabelas!$C$7,IF(AND(OR(F10=PIX,F10=DIN,F10=DB),D10=CORE,H10=PART),tabelas!$C$8,IF(AND(D10=CORE,H10=SUS),tabelas!$G$7,0))))))))</f>
        <v>1300</v>
      </c>
      <c r="F10" s="7" t="s">
        <v>7</v>
      </c>
      <c r="G10" s="7"/>
      <c r="H10" s="7" t="s">
        <v>10</v>
      </c>
    </row>
    <row r="11" spans="1:16" x14ac:dyDescent="0.25">
      <c r="B11" s="7"/>
      <c r="C11" s="7"/>
      <c r="D11" s="7"/>
      <c r="E11" s="9" t="str">
        <f>IF(B11="","",IF(AND(D11=US,H11=PART),tabelas!$C$6,IF(AND(D11=US,H11=AMS),tabelas!$D$6,IF(AND(D11=PAAF,H11=PART),tabelas!$C$9,IF(AND(D11=PAAF,H11=SUS),tabelas!$G$9,IF(AND(D11=CORE,H11=PART,F11=CC),tabelas!$C$7,IF(AND(OR(F11=PIX,F11=DIN,F11=DB),D11=CORE,H11=PART),tabelas!$C$8,IF(AND(D11=CORE,H11=SUS),tabelas!$G$7,0))))))))</f>
        <v/>
      </c>
      <c r="F11" s="7"/>
      <c r="G11" s="7"/>
      <c r="H11" s="7"/>
    </row>
    <row r="12" spans="1:16" x14ac:dyDescent="0.25">
      <c r="B12" s="7"/>
      <c r="C12" s="7"/>
      <c r="D12" s="7"/>
      <c r="E12" s="9" t="str">
        <f>IF(B12="","",IF(AND(D12=US,H12=PART),tabelas!$C$6,IF(AND(D12=US,H12=AMS),tabelas!$D$6,IF(AND(D12=PAAF,H12=PART),tabelas!$C$9,IF(AND(D12=PAAF,H12=SUS),tabelas!$G$9,IF(AND(D12=CORE,H12=PART,F12=CC),tabelas!$C$7,IF(AND(OR(F12=PIX,F12=DIN,F12=DB),D12=CORE,H12=PART),tabelas!$C$8,IF(AND(D12=CORE,H12=SUS),tabelas!$G$7,0))))))))</f>
        <v/>
      </c>
      <c r="F12" s="7"/>
      <c r="G12" s="7"/>
      <c r="H12" s="7"/>
    </row>
    <row r="13" spans="1:16" x14ac:dyDescent="0.25">
      <c r="B13" s="7"/>
      <c r="C13" s="7"/>
      <c r="D13" s="7"/>
      <c r="E13" s="9" t="str">
        <f>IF(B13="","",IF(AND(D13=US,H13=PART),tabelas!$C$6,IF(AND(D13=US,H13=AMS),tabelas!$D$6,IF(AND(D13=PAAF,H13=PART),tabelas!$C$9,IF(AND(D13=PAAF,H13=SUS),tabelas!$G$9,IF(AND(D13=CORE,H13=PART,F13=CC),tabelas!$C$7,IF(AND(OR(F13=PIX,F13=DIN,F13=DB),D13=CORE,H13=PART),tabelas!$C$8,IF(AND(D13=CORE,H13=SUS),tabelas!$G$7,0))))))))</f>
        <v/>
      </c>
      <c r="F13" s="7"/>
      <c r="G13" s="7"/>
      <c r="H13" s="7"/>
    </row>
    <row r="14" spans="1:16" x14ac:dyDescent="0.25">
      <c r="B14" s="7"/>
      <c r="C14" s="7"/>
      <c r="D14" s="7"/>
      <c r="E14" s="9" t="str">
        <f>IF(B14="","",IF(AND(D14=US,H14=PART),tabelas!$C$6,IF(AND(D14=US,H14=AMS),tabelas!$D$6,IF(AND(D14=PAAF,H14=PART),tabelas!$C$9,IF(AND(D14=PAAF,H14=SUS),tabelas!$G$9,IF(AND(D14=CORE,H14=PART,F14=CC),tabelas!$C$7,IF(AND(OR(F14=PIX,F14=DIN,F14=DB),D14=CORE,H14=PART),tabelas!$C$8,IF(AND(D14=CORE,H14=SUS),tabelas!$G$7,0))))))))</f>
        <v/>
      </c>
      <c r="F14" s="7"/>
      <c r="G14" s="7"/>
      <c r="H14" s="7"/>
    </row>
    <row r="15" spans="1:16" x14ac:dyDescent="0.25">
      <c r="B15" s="7"/>
      <c r="C15" s="7"/>
      <c r="D15" s="7"/>
      <c r="E15" s="9" t="str">
        <f>IF(B15="","",IF(AND(D15=US,H15=PART),tabelas!$C$6,IF(AND(D15=US,H15=AMS),tabelas!$D$6,IF(AND(D15=PAAF,H15=PART),tabelas!$C$9,IF(AND(D15=PAAF,H15=SUS),tabelas!$G$9,IF(AND(D15=CORE,H15=PART,F15=CC),tabelas!$C$7,IF(AND(OR(F15=PIX,F15=DIN,F15=DB),D15=CORE,H15=PART),tabelas!$C$8,IF(AND(D15=CORE,H15=SUS),tabelas!$G$7,0))))))))</f>
        <v/>
      </c>
      <c r="F15" s="7"/>
      <c r="G15" s="7"/>
      <c r="H15" s="7"/>
    </row>
    <row r="16" spans="1:16" x14ac:dyDescent="0.25">
      <c r="B16" s="7"/>
      <c r="C16" s="7"/>
      <c r="D16" s="7"/>
      <c r="E16" s="9" t="str">
        <f>IF(B16="","",IF(AND(D16=US,H16=PART),tabelas!$C$6,IF(AND(D16=US,H16=AMS),tabelas!$D$6,IF(AND(D16=PAAF,H16=PART),tabelas!$C$9,IF(AND(D16=PAAF,H16=SUS),tabelas!$G$9,IF(AND(D16=CORE,H16=PART,F16=CC),tabelas!$C$7,IF(AND(OR(F16=PIX,F16=DIN,F16=DB),D16=CORE,H16=PART),tabelas!$C$8,IF(AND(D16=CORE,H16=SUS),tabelas!$G$7,0))))))))</f>
        <v/>
      </c>
      <c r="F16" s="7"/>
      <c r="G16" s="7"/>
      <c r="H16" s="7"/>
    </row>
    <row r="17" spans="2:8" x14ac:dyDescent="0.25">
      <c r="B17" s="7"/>
      <c r="C17" s="7"/>
      <c r="D17" s="7"/>
      <c r="E17" s="9" t="str">
        <f>IF(B17="","",IF(AND(D17=US,H17=PART),tabelas!$C$6,IF(AND(D17=US,H17=AMS),tabelas!$D$6,IF(AND(D17=PAAF,H17=PART),tabelas!$C$9,IF(AND(D17=PAAF,H17=SUS),tabelas!$G$9,IF(AND(D17=CORE,H17=PART,F17=CC),tabelas!$C$7,IF(AND(OR(F17=PIX,F17=DIN,F17=DB),D17=CORE,H17=PART),tabelas!$C$8,IF(AND(D17=CORE,H17=SUS),tabelas!$G$7,0))))))))</f>
        <v/>
      </c>
      <c r="F17" s="7"/>
      <c r="G17" s="7"/>
      <c r="H17" s="7"/>
    </row>
    <row r="18" spans="2:8" x14ac:dyDescent="0.25">
      <c r="B18" s="7"/>
      <c r="C18" s="7"/>
      <c r="D18" s="7"/>
      <c r="E18" s="9" t="str">
        <f>IF(B18="","",IF(AND(D18=US,H18=PART),tabelas!$C$6,IF(AND(D18=US,H18=AMS),tabelas!$D$6,IF(AND(D18=PAAF,H18=PART),tabelas!$C$9,IF(AND(D18=PAAF,H18=SUS),tabelas!$G$9,IF(AND(D18=CORE,H18=PART,F18=CC),tabelas!$C$7,IF(AND(OR(F18=PIX,F18=DIN,F18=DB),D18=CORE,H18=PART),tabelas!$C$8,IF(AND(D18=CORE,H18=SUS),tabelas!$G$7,0))))))))</f>
        <v/>
      </c>
      <c r="F18" s="7"/>
      <c r="G18" s="7"/>
      <c r="H18" s="7"/>
    </row>
    <row r="19" spans="2:8" x14ac:dyDescent="0.25">
      <c r="B19" s="7"/>
      <c r="C19" s="7"/>
      <c r="D19" s="7"/>
      <c r="E19" s="9" t="str">
        <f>IF(B19="","",IF(AND(D19=US,H19=PART),tabelas!$C$6,IF(AND(D19=US,H19=AMS),tabelas!$D$6,IF(AND(D19=PAAF,H19=PART),tabelas!$C$9,IF(AND(D19=PAAF,H19=SUS),tabelas!$G$9,IF(AND(D19=CORE,H19=PART,F19=CC),tabelas!$C$7,IF(AND(OR(F19=PIX,F19=DIN,F19=DB),D19=CORE,H19=PART),tabelas!$C$8,IF(AND(D19=CORE,H19=SUS),tabelas!$G$7,0))))))))</f>
        <v/>
      </c>
      <c r="F19" s="7"/>
      <c r="G19" s="7"/>
      <c r="H19" s="7"/>
    </row>
    <row r="20" spans="2:8" x14ac:dyDescent="0.25">
      <c r="B20" s="7"/>
      <c r="C20" s="7"/>
      <c r="D20" s="7"/>
      <c r="E20" s="9" t="str">
        <f>IF(B20="","",IF(AND(D20=US,H20=PART),tabelas!$C$6,IF(AND(D20=US,H20=AMS),tabelas!$D$6,IF(AND(D20=PAAF,H20=PART),tabelas!$C$9,IF(AND(D20=PAAF,H20=SUS),tabelas!$G$9,IF(AND(D20=CORE,H20=PART,F20=CC),tabelas!$C$7,IF(AND(OR(F20=PIX,F20=DIN,F20=DB),D20=CORE,H20=PART),tabelas!$C$8,IF(AND(D20=CORE,H20=SUS),tabelas!$G$7,0))))))))</f>
        <v/>
      </c>
      <c r="F20" s="7"/>
      <c r="G20" s="7"/>
      <c r="H20" s="7"/>
    </row>
    <row r="21" spans="2:8" x14ac:dyDescent="0.25">
      <c r="B21" s="7"/>
      <c r="C21" s="7"/>
      <c r="D21" s="7"/>
      <c r="E21" s="9" t="str">
        <f>IF(B21="","",IF(AND(D21=US,H21=PART),tabelas!$C$6,IF(AND(D21=US,H21=AMS),tabelas!$D$6,IF(AND(D21=PAAF,H21=PART),tabelas!$C$9,IF(AND(D21=PAAF,H21=SUS),tabelas!$G$9,IF(AND(D21=CORE,H21=PART,F21=CC),tabelas!$C$7,IF(AND(OR(F21=PIX,F21=DIN,F21=DB),D21=CORE,H21=PART),tabelas!$C$8,IF(AND(D21=CORE,H21=SUS),tabelas!$G$7,0))))))))</f>
        <v/>
      </c>
      <c r="F21" s="7"/>
      <c r="G21" s="7"/>
      <c r="H21" s="7"/>
    </row>
    <row r="22" spans="2:8" x14ac:dyDescent="0.25">
      <c r="B22" s="7"/>
      <c r="C22" s="7"/>
      <c r="D22" s="7"/>
      <c r="E22" s="9" t="str">
        <f>IF(B22="","",IF(AND(D22=US,H22=PART),tabelas!$C$6,IF(AND(D22=US,H22=AMS),tabelas!$D$6,IF(AND(D22=PAAF,H22=PART),tabelas!$C$9,IF(AND(D22=PAAF,H22=SUS),tabelas!$G$9,IF(AND(D22=CORE,H22=PART,F22=CC),tabelas!$C$7,IF(AND(OR(F22=PIX,F22=DIN,F22=DB),D22=CORE,H22=PART),tabelas!$C$8,IF(AND(D22=CORE,H22=SUS),tabelas!$G$7,0))))))))</f>
        <v/>
      </c>
      <c r="F22" s="7"/>
      <c r="G22" s="7"/>
      <c r="H22" s="7"/>
    </row>
    <row r="23" spans="2:8" x14ac:dyDescent="0.25">
      <c r="B23" s="7"/>
      <c r="C23" s="7"/>
      <c r="D23" s="7"/>
      <c r="E23" s="9" t="str">
        <f>IF(B23="","",IF(AND(D23=US,H23=PART),tabelas!$C$6,IF(AND(D23=US,H23=AMS),tabelas!$D$6,IF(AND(D23=PAAF,H23=PART),tabelas!$C$9,IF(AND(D23=PAAF,H23=SUS),tabelas!$G$9,IF(AND(D23=CORE,H23=PART,F23=CC),tabelas!$C$7,IF(AND(OR(F23=PIX,F23=DIN,F23=DB),D23=CORE,H23=PART),tabelas!$C$8,IF(AND(D23=CORE,H23=SUS),tabelas!$G$7,0))))))))</f>
        <v/>
      </c>
      <c r="F23" s="7"/>
      <c r="G23" s="7"/>
      <c r="H23" s="7"/>
    </row>
    <row r="24" spans="2:8" x14ac:dyDescent="0.25">
      <c r="B24" s="7"/>
      <c r="C24" s="7"/>
      <c r="D24" s="7"/>
      <c r="E24" s="9" t="str">
        <f>IF(B24="","",IF(AND(D24=US,H24=PART),tabelas!$C$6,IF(AND(D24=US,H24=AMS),tabelas!$D$6,IF(AND(D24=PAAF,H24=PART),tabelas!$C$9,IF(AND(D24=PAAF,H24=SUS),tabelas!$G$9,IF(AND(D24=CORE,H24=PART,F24=CC),tabelas!$C$7,IF(AND(OR(F24=PIX,F24=DIN,F24=DB),D24=CORE,H24=PART),tabelas!$C$8,IF(AND(D24=CORE,H24=SUS),tabelas!$G$7,0))))))))</f>
        <v/>
      </c>
      <c r="F24" s="7"/>
      <c r="G24" s="7"/>
      <c r="H24" s="7"/>
    </row>
    <row r="25" spans="2:8" x14ac:dyDescent="0.25">
      <c r="B25" s="7"/>
      <c r="C25" s="7"/>
      <c r="D25" s="7"/>
      <c r="E25" s="9" t="str">
        <f>IF(B25="","",IF(AND(D25=US,H25=PART),tabelas!$C$6,IF(AND(D25=US,H25=AMS),tabelas!$D$6,IF(AND(D25=PAAF,H25=PART),tabelas!$C$9,IF(AND(D25=PAAF,H25=SUS),tabelas!$G$9,IF(AND(D25=CORE,H25=PART,F25=CC),tabelas!$C$7,IF(AND(OR(F25=PIX,F25=DIN,F25=DB),D25=CORE,H25=PART),tabelas!$C$8,IF(AND(D25=CORE,H25=SUS),tabelas!$G$7,0))))))))</f>
        <v/>
      </c>
      <c r="F25" s="7"/>
      <c r="G25" s="7"/>
      <c r="H25" s="7"/>
    </row>
    <row r="26" spans="2:8" x14ac:dyDescent="0.25">
      <c r="B26" s="7"/>
      <c r="C26" s="7"/>
      <c r="D26" s="7"/>
      <c r="E26" s="9" t="str">
        <f>IF(B26="","",IF(AND(D26=US,H26=PART),tabelas!$C$6,IF(AND(D26=US,H26=AMS),tabelas!$D$6,IF(AND(D26=PAAF,H26=PART),tabelas!$C$9,IF(AND(D26=PAAF,H26=SUS),tabelas!$G$9,IF(AND(D26=CORE,H26=PART,F26=CC),tabelas!$C$7,IF(AND(OR(F26=PIX,F26=DIN,F26=DB),D26=CORE,H26=PART),tabelas!$C$8,IF(AND(D26=CORE,H26=SUS),tabelas!$G$7,0))))))))</f>
        <v/>
      </c>
      <c r="F26" s="7"/>
      <c r="G26" s="7"/>
      <c r="H26" s="7"/>
    </row>
    <row r="27" spans="2:8" x14ac:dyDescent="0.25">
      <c r="B27" s="7"/>
      <c r="C27" s="7"/>
      <c r="D27" s="7"/>
      <c r="E27" s="9" t="str">
        <f>IF(B27="","",IF(AND(D27=US,H27=PART),tabelas!$C$6,IF(AND(D27=US,H27=AMS),tabelas!$D$6,IF(AND(D27=PAAF,H27=PART),tabelas!$C$9,IF(AND(D27=PAAF,H27=SUS),tabelas!$G$9,IF(AND(D27=CORE,H27=PART,F27=CC),tabelas!$C$7,IF(AND(OR(F27=PIX,F27=DIN,F27=DB),D27=CORE,H27=PART),tabelas!$C$8,IF(AND(D27=CORE,H27=SUS),tabelas!$G$7,0))))))))</f>
        <v/>
      </c>
      <c r="F27" s="7"/>
      <c r="G27" s="7"/>
      <c r="H27" s="7"/>
    </row>
    <row r="28" spans="2:8" x14ac:dyDescent="0.25">
      <c r="B28" s="7"/>
      <c r="C28" s="7"/>
      <c r="D28" s="7"/>
      <c r="E28" s="9" t="str">
        <f>IF(B28="","",IF(AND(D28=US,H28=PART),tabelas!$C$6,IF(AND(D28=US,H28=AMS),tabelas!$D$6,IF(AND(D28=PAAF,H28=PART),tabelas!$C$9,IF(AND(D28=PAAF,H28=SUS),tabelas!$G$9,IF(AND(D28=CORE,H28=PART,F28=CC),tabelas!$C$7,IF(AND(OR(F28=PIX,F28=DIN,F28=DB),D28=CORE,H28=PART),tabelas!$C$8,IF(AND(D28=CORE,H28=SUS),tabelas!$G$7,0))))))))</f>
        <v/>
      </c>
      <c r="F28" s="7"/>
      <c r="G28" s="7"/>
      <c r="H28" s="7"/>
    </row>
    <row r="29" spans="2:8" x14ac:dyDescent="0.25">
      <c r="B29" s="7"/>
      <c r="C29" s="7"/>
      <c r="D29" s="7"/>
      <c r="E29" s="9" t="str">
        <f>IF(B29="","",IF(AND(D29=US,H29=PART),tabelas!$C$6,IF(AND(D29=US,H29=AMS),tabelas!$D$6,IF(AND(D29=PAAF,H29=PART),tabelas!$C$9,IF(AND(D29=PAAF,H29=SUS),tabelas!$G$9,IF(AND(D29=CORE,H29=PART,F29=CC),tabelas!$C$7,IF(AND(OR(F29=PIX,F29=DIN,F29=DB),D29=CORE,H29=PART),tabelas!$C$8,IF(AND(D29=CORE,H29=SUS),tabelas!$G$7,0))))))))</f>
        <v/>
      </c>
      <c r="F29" s="7"/>
      <c r="G29" s="7"/>
      <c r="H29" s="7"/>
    </row>
    <row r="30" spans="2:8" x14ac:dyDescent="0.25">
      <c r="B30" s="7"/>
      <c r="C30" s="7"/>
      <c r="D30" s="7"/>
      <c r="E30" s="13">
        <f>SUBTOTAL(109,Tabela1[VALOR])</f>
        <v>2500</v>
      </c>
      <c r="F30" s="7"/>
      <c r="G30" s="7"/>
      <c r="H30" s="7"/>
    </row>
  </sheetData>
  <sheetProtection sheet="1" objects="1" scenarios="1" sort="0" autoFilter="0"/>
  <mergeCells count="1">
    <mergeCell ref="B2:D2"/>
  </mergeCells>
  <phoneticPr fontId="3" type="noConversion"/>
  <pageMargins left="0.7" right="0.7" top="0.75" bottom="0.75" header="0.3" footer="0.3"/>
  <pageSetup paperSize="9" orientation="portrait" horizontalDpi="4294967293" verticalDpi="0" r:id="rId1"/>
  <drawing r:id="rId2"/>
  <tableParts count="1">
    <tablePart r:id="rId3"/>
  </tableParts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00000000-0002-0000-0000-000000000000}">
          <x14:formula1>
            <xm:f>tabelas!$B$6:$B$9</xm:f>
          </x14:formula1>
          <xm:sqref>D6:D29</xm:sqref>
        </x14:dataValidation>
        <x14:dataValidation type="list" allowBlank="1" showInputMessage="1" showErrorMessage="1" xr:uid="{00000000-0002-0000-0000-000001000000}">
          <x14:formula1>
            <xm:f>tabelas!$B$12:$B$15</xm:f>
          </x14:formula1>
          <xm:sqref>F6:F29</xm:sqref>
        </x14:dataValidation>
        <x14:dataValidation type="list" allowBlank="1" showInputMessage="1" showErrorMessage="1" xr:uid="{00000000-0002-0000-0000-000002000000}">
          <x14:formula1>
            <xm:f>tabelas!$C$5:$G$5</xm:f>
          </x14:formula1>
          <xm:sqref>H6:H29</xm:sqref>
        </x14:dataValidation>
        <x14:dataValidation type="list" allowBlank="1" showInputMessage="1" showErrorMessage="1" xr:uid="{00000000-0002-0000-0000-000003000000}">
          <x14:formula1>
            <xm:f>tabelas!$C$12:$C$17</xm:f>
          </x14:formula1>
          <xm:sqref>G6:G29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56690D-DF79-4BD1-A160-9F961EAF25E7}">
  <dimension ref="B2:G17"/>
  <sheetViews>
    <sheetView showGridLines="0" workbookViewId="0">
      <selection activeCell="C9" sqref="C9"/>
    </sheetView>
  </sheetViews>
  <sheetFormatPr defaultRowHeight="15" x14ac:dyDescent="0.25"/>
  <cols>
    <col min="1" max="1" width="1.75" customWidth="1"/>
    <col min="2" max="2" width="23.125" bestFit="1" customWidth="1"/>
    <col min="3" max="3" width="12" bestFit="1" customWidth="1"/>
    <col min="4" max="4" width="13.25" bestFit="1" customWidth="1"/>
    <col min="5" max="5" width="8.625" bestFit="1" customWidth="1"/>
    <col min="6" max="6" width="6.625" bestFit="1" customWidth="1"/>
    <col min="7" max="7" width="10.125" bestFit="1" customWidth="1"/>
  </cols>
  <sheetData>
    <row r="2" spans="2:7" ht="15.75" thickBot="1" x14ac:dyDescent="0.3"/>
    <row r="3" spans="2:7" ht="21.75" thickBot="1" x14ac:dyDescent="0.4">
      <c r="B3" s="35" t="s">
        <v>28</v>
      </c>
      <c r="C3" s="36"/>
      <c r="D3" s="36"/>
      <c r="E3" s="36"/>
      <c r="F3" s="36"/>
      <c r="G3" s="37"/>
    </row>
    <row r="4" spans="2:7" ht="15.75" thickBot="1" x14ac:dyDescent="0.3"/>
    <row r="5" spans="2:7" ht="15.75" thickBot="1" x14ac:dyDescent="0.3">
      <c r="B5" s="22" t="s">
        <v>0</v>
      </c>
      <c r="C5" s="23" t="s">
        <v>10</v>
      </c>
      <c r="D5" s="23" t="s">
        <v>5</v>
      </c>
      <c r="E5" s="23" t="s">
        <v>25</v>
      </c>
      <c r="F5" s="23" t="s">
        <v>26</v>
      </c>
      <c r="G5" s="24" t="s">
        <v>6</v>
      </c>
    </row>
    <row r="6" spans="2:7" x14ac:dyDescent="0.25">
      <c r="B6" s="18" t="s">
        <v>14</v>
      </c>
      <c r="C6" s="25">
        <v>300</v>
      </c>
      <c r="D6" s="25">
        <v>250</v>
      </c>
      <c r="E6" s="25"/>
      <c r="F6" s="25"/>
      <c r="G6" s="26"/>
    </row>
    <row r="7" spans="2:7" x14ac:dyDescent="0.25">
      <c r="B7" s="14" t="s">
        <v>4</v>
      </c>
      <c r="C7" s="27">
        <v>1500</v>
      </c>
      <c r="D7" s="27"/>
      <c r="E7" s="27"/>
      <c r="F7" s="27"/>
      <c r="G7" s="28">
        <v>800</v>
      </c>
    </row>
    <row r="8" spans="2:7" x14ac:dyDescent="0.25">
      <c r="B8" s="14"/>
      <c r="C8" s="27">
        <v>1300</v>
      </c>
      <c r="D8" s="27"/>
      <c r="E8" s="27"/>
      <c r="F8" s="27"/>
      <c r="G8" s="28"/>
    </row>
    <row r="9" spans="2:7" ht="15.75" thickBot="1" x14ac:dyDescent="0.3">
      <c r="B9" s="16" t="s">
        <v>15</v>
      </c>
      <c r="C9" s="29">
        <v>800</v>
      </c>
      <c r="D9" s="29"/>
      <c r="E9" s="29"/>
      <c r="F9" s="29"/>
      <c r="G9" s="30">
        <v>600</v>
      </c>
    </row>
    <row r="10" spans="2:7" ht="15.75" thickBot="1" x14ac:dyDescent="0.3"/>
    <row r="11" spans="2:7" ht="15.75" thickBot="1" x14ac:dyDescent="0.3">
      <c r="B11" s="20" t="s">
        <v>27</v>
      </c>
      <c r="C11" s="21" t="s">
        <v>17</v>
      </c>
    </row>
    <row r="12" spans="2:7" x14ac:dyDescent="0.25">
      <c r="B12" s="18" t="s">
        <v>16</v>
      </c>
      <c r="C12" s="19" t="s">
        <v>18</v>
      </c>
    </row>
    <row r="13" spans="2:7" x14ac:dyDescent="0.25">
      <c r="B13" s="14" t="s">
        <v>7</v>
      </c>
      <c r="C13" s="15" t="s">
        <v>19</v>
      </c>
    </row>
    <row r="14" spans="2:7" x14ac:dyDescent="0.25">
      <c r="B14" s="14" t="s">
        <v>8</v>
      </c>
      <c r="C14" s="15" t="s">
        <v>20</v>
      </c>
    </row>
    <row r="15" spans="2:7" x14ac:dyDescent="0.25">
      <c r="B15" s="14" t="s">
        <v>9</v>
      </c>
      <c r="C15" s="15" t="s">
        <v>21</v>
      </c>
    </row>
    <row r="16" spans="2:7" x14ac:dyDescent="0.25">
      <c r="B16" s="14"/>
      <c r="C16" s="15" t="s">
        <v>22</v>
      </c>
    </row>
    <row r="17" spans="2:3" ht="15.75" thickBot="1" x14ac:dyDescent="0.3">
      <c r="B17" s="16"/>
      <c r="C17" s="17" t="s">
        <v>23</v>
      </c>
    </row>
  </sheetData>
  <sheetProtection sheet="1" objects="1" scenarios="1" selectLockedCells="1" selectUnlockedCells="1"/>
  <mergeCells count="1">
    <mergeCell ref="B3:G3"/>
  </mergeCells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2</vt:i4>
      </vt:variant>
      <vt:variant>
        <vt:lpstr>Intervalos Nomeados</vt:lpstr>
      </vt:variant>
      <vt:variant>
        <vt:i4>16</vt:i4>
      </vt:variant>
    </vt:vector>
  </HeadingPairs>
  <TitlesOfParts>
    <vt:vector size="18" baseType="lpstr">
      <vt:lpstr>ULTRASSOM</vt:lpstr>
      <vt:lpstr>tabelas</vt:lpstr>
      <vt:lpstr>AMS</vt:lpstr>
      <vt:lpstr>CC</vt:lpstr>
      <vt:lpstr>CNV</vt:lpstr>
      <vt:lpstr>CORE</vt:lpstr>
      <vt:lpstr>COREA</vt:lpstr>
      <vt:lpstr>DB</vt:lpstr>
      <vt:lpstr>DIN</vt:lpstr>
      <vt:lpstr>EXAME</vt:lpstr>
      <vt:lpstr>FMP</vt:lpstr>
      <vt:lpstr>FUS</vt:lpstr>
      <vt:lpstr>PAAF</vt:lpstr>
      <vt:lpstr>PART</vt:lpstr>
      <vt:lpstr>PIX</vt:lpstr>
      <vt:lpstr>SUS</vt:lpstr>
      <vt:lpstr>UNM</vt:lpstr>
      <vt:lpstr>US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MAC Patologia</dc:creator>
  <cp:lastModifiedBy>Usuário do Windows</cp:lastModifiedBy>
  <dcterms:created xsi:type="dcterms:W3CDTF">2015-06-05T18:17:20Z</dcterms:created>
  <dcterms:modified xsi:type="dcterms:W3CDTF">2023-05-04T13:07:53Z</dcterms:modified>
</cp:coreProperties>
</file>